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i\OneDrive\Documentos\"/>
    </mc:Choice>
  </mc:AlternateContent>
  <xr:revisionPtr revIDLastSave="0" documentId="8_{87B8150B-7D2D-43F9-96D7-53FFF0499E57}" xr6:coauthVersionLast="47" xr6:coauthVersionMax="47" xr10:uidLastSave="{00000000-0000-0000-0000-000000000000}"/>
  <bookViews>
    <workbookView xWindow="-108" yWindow="-108" windowWidth="23256" windowHeight="12456" xr2:uid="{C8A0990F-2C2E-4297-A565-CFE959E7D4AD}"/>
  </bookViews>
  <sheets>
    <sheet name="Média" sheetId="1" r:id="rId1"/>
    <sheet name="Mercado" sheetId="2" r:id="rId2"/>
    <sheet name="Produtos com desconto" sheetId="3" r:id="rId3"/>
  </sheets>
  <definedNames>
    <definedName name="_xlnm._FilterDatabase" localSheetId="1" hidden="1">Mercado!$A$1:$L$15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3" l="1"/>
  <c r="D5" i="3"/>
  <c r="D3" i="3"/>
  <c r="I4" i="2"/>
  <c r="L4" i="2" s="1"/>
  <c r="I5" i="2"/>
  <c r="L5" i="2" s="1"/>
  <c r="I6" i="2"/>
  <c r="L6" i="2" s="1"/>
  <c r="I7" i="2"/>
  <c r="L7" i="2" s="1"/>
  <c r="I8" i="2"/>
  <c r="L8" i="2" s="1"/>
  <c r="I9" i="2"/>
  <c r="I10" i="2"/>
  <c r="L10" i="2" s="1"/>
  <c r="I11" i="2"/>
  <c r="L11" i="2" s="1"/>
  <c r="I12" i="2"/>
  <c r="I13" i="2"/>
  <c r="I14" i="2"/>
  <c r="I15" i="2"/>
  <c r="L15" i="2" s="1"/>
  <c r="I3" i="2"/>
  <c r="K4" i="2"/>
  <c r="K5" i="2"/>
  <c r="K6" i="2"/>
  <c r="K7" i="2"/>
  <c r="K8" i="2"/>
  <c r="K9" i="2"/>
  <c r="K10" i="2"/>
  <c r="K11" i="2"/>
  <c r="K12" i="2"/>
  <c r="K13" i="2"/>
  <c r="K14" i="2"/>
  <c r="L14" i="2" s="1"/>
  <c r="K15" i="2"/>
  <c r="K3" i="2"/>
  <c r="L12" i="2"/>
  <c r="L13" i="2"/>
  <c r="G4" i="2"/>
  <c r="G5" i="2"/>
  <c r="G6" i="2"/>
  <c r="G7" i="2"/>
  <c r="G8" i="2"/>
  <c r="G9" i="2"/>
  <c r="G10" i="2"/>
  <c r="G11" i="2"/>
  <c r="G12" i="2"/>
  <c r="G13" i="2"/>
  <c r="G14" i="2"/>
  <c r="G15" i="2"/>
  <c r="G3" i="2"/>
  <c r="G5" i="1"/>
  <c r="G6" i="1"/>
  <c r="G7" i="1"/>
  <c r="G8" i="1"/>
  <c r="G11" i="1"/>
  <c r="F4" i="1"/>
  <c r="G4" i="1" s="1"/>
  <c r="F5" i="1"/>
  <c r="F6" i="1"/>
  <c r="F7" i="1"/>
  <c r="F8" i="1"/>
  <c r="F9" i="1"/>
  <c r="G9" i="1" s="1"/>
  <c r="F10" i="1"/>
  <c r="G10" i="1" s="1"/>
  <c r="F11" i="1"/>
  <c r="F3" i="1"/>
  <c r="G3" i="1" s="1"/>
  <c r="F2" i="1"/>
  <c r="G2" i="1" s="1"/>
  <c r="L3" i="2" l="1"/>
  <c r="L9" i="2"/>
</calcChain>
</file>

<file path=xl/sharedStrings.xml><?xml version="1.0" encoding="utf-8"?>
<sst xmlns="http://schemas.openxmlformats.org/spreadsheetml/2006/main" count="60" uniqueCount="52">
  <si>
    <t>Alunos</t>
  </si>
  <si>
    <t>1º trimestre</t>
  </si>
  <si>
    <t>2º trimestre</t>
  </si>
  <si>
    <t>3 trimestre</t>
  </si>
  <si>
    <t>4º trimestre</t>
  </si>
  <si>
    <t>João</t>
  </si>
  <si>
    <t>Maria</t>
  </si>
  <si>
    <t>Josefa</t>
  </si>
  <si>
    <t>Lucas</t>
  </si>
  <si>
    <t>Tiago</t>
  </si>
  <si>
    <t>Andre</t>
  </si>
  <si>
    <t>Sofia</t>
  </si>
  <si>
    <t>Ana</t>
  </si>
  <si>
    <t>Isabele</t>
  </si>
  <si>
    <t>Mateus</t>
  </si>
  <si>
    <t>Média</t>
  </si>
  <si>
    <t>Resultado Final</t>
  </si>
  <si>
    <t>Arroz</t>
  </si>
  <si>
    <t>Produtos</t>
  </si>
  <si>
    <t>Departamento</t>
  </si>
  <si>
    <t>Estoque</t>
  </si>
  <si>
    <t>Preço</t>
  </si>
  <si>
    <t>Feijão</t>
  </si>
  <si>
    <t>Macarrão</t>
  </si>
  <si>
    <t>Tomate</t>
  </si>
  <si>
    <t>Alface</t>
  </si>
  <si>
    <t>Cebola</t>
  </si>
  <si>
    <t>Pão de sal</t>
  </si>
  <si>
    <t>Brigadeiro</t>
  </si>
  <si>
    <t>Bolo de Chocolate</t>
  </si>
  <si>
    <t>Desodorante</t>
  </si>
  <si>
    <t>Lenço</t>
  </si>
  <si>
    <t>Esponja</t>
  </si>
  <si>
    <t>Grãos</t>
  </si>
  <si>
    <t>Bem estar</t>
  </si>
  <si>
    <t>Limpeza</t>
  </si>
  <si>
    <t>Massa</t>
  </si>
  <si>
    <t>Hortifrute</t>
  </si>
  <si>
    <t>Padaria</t>
  </si>
  <si>
    <t>Sabão</t>
  </si>
  <si>
    <t>Total</t>
  </si>
  <si>
    <t xml:space="preserve">Venda/dia </t>
  </si>
  <si>
    <t>Estoque atual</t>
  </si>
  <si>
    <t>Percentual estoque</t>
  </si>
  <si>
    <t>Situação</t>
  </si>
  <si>
    <t>Estado em percentual</t>
  </si>
  <si>
    <t>Produto</t>
  </si>
  <si>
    <t>Tênis</t>
  </si>
  <si>
    <t>Camiseta Masculina</t>
  </si>
  <si>
    <t>Sapato</t>
  </si>
  <si>
    <t>Desconto</t>
  </si>
  <si>
    <t>Preço com desconto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</si>
</sst>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&quot;R$&quot;\ #,##0.00"/>
  </numFmts>
  <fonts count="6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43" fontId="0" fillId="0" borderId="0" xfId="1" applyFont="1"/>
    <xf numFmtId="2" fontId="0" fillId="0" borderId="0" xfId="1" applyNumberFormat="1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" fontId="2" fillId="3" borderId="0" xfId="1" applyNumberFormat="1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1" applyNumberFormat="1" applyFont="1" applyAlignment="1">
      <alignment horizontal="center"/>
    </xf>
    <xf numFmtId="164" fontId="0" fillId="0" borderId="0" xfId="0" applyNumberFormat="1"/>
    <xf numFmtId="9" fontId="0" fillId="0" borderId="0" xfId="2" applyFont="1"/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0" xfId="0" applyNumberFormat="1"/>
    <xf numFmtId="0" fontId="5" fillId="0" borderId="0" xfId="0" applyFont="1"/>
  </cellXfs>
  <cellStyles count="3">
    <cellStyle name="Normal" xfId="0" builtinId="0"/>
    <cellStyle name="Porcentagem" xfId="2" builtinId="5"/>
    <cellStyle name="Vírgula" xfId="1" builtinId="3"/>
  </cellStyles>
  <dxfs count="2">
    <dxf>
      <fill>
        <patternFill>
          <bgColor rgb="FFFF0000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04E8E-6142-4B5D-9A6E-0C3CE8715628}">
  <dimension ref="A1:I11"/>
  <sheetViews>
    <sheetView tabSelected="1" workbookViewId="0">
      <selection activeCell="I1" sqref="I1"/>
    </sheetView>
  </sheetViews>
  <sheetFormatPr defaultRowHeight="15.6" x14ac:dyDescent="0.3"/>
  <cols>
    <col min="1" max="1" width="11.59765625" customWidth="1"/>
    <col min="2" max="2" width="13" customWidth="1"/>
    <col min="3" max="4" width="14.296875" customWidth="1"/>
    <col min="5" max="5" width="14.8984375" customWidth="1"/>
    <col min="6" max="6" width="14.3984375" style="3" customWidth="1"/>
    <col min="7" max="7" width="16.296875" style="1" customWidth="1"/>
  </cols>
  <sheetData>
    <row r="1" spans="1:9" x14ac:dyDescent="0.3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15</v>
      </c>
      <c r="G1" s="7" t="s">
        <v>16</v>
      </c>
      <c r="I1" s="17"/>
    </row>
    <row r="2" spans="1:9" x14ac:dyDescent="0.3">
      <c r="A2" t="s">
        <v>5</v>
      </c>
      <c r="B2">
        <v>7.8</v>
      </c>
      <c r="C2">
        <v>8</v>
      </c>
      <c r="D2">
        <v>7.1</v>
      </c>
      <c r="E2">
        <v>8.5</v>
      </c>
      <c r="F2" s="3">
        <f>AVERAGE(B2:E2)</f>
        <v>7.85</v>
      </c>
      <c r="G2" s="10" t="str">
        <f>IF(F2&gt;7, "Aprovado", "Reprovado")</f>
        <v>Aprovado</v>
      </c>
    </row>
    <row r="3" spans="1:9" x14ac:dyDescent="0.3">
      <c r="A3" t="s">
        <v>6</v>
      </c>
      <c r="B3">
        <v>8</v>
      </c>
      <c r="C3">
        <v>6.6</v>
      </c>
      <c r="D3">
        <v>6.9</v>
      </c>
      <c r="E3">
        <v>5.5</v>
      </c>
      <c r="F3" s="3">
        <f>AVERAGE(B3:E3)</f>
        <v>6.75</v>
      </c>
      <c r="G3" s="11" t="str">
        <f>IF(F3&gt;7,"Aprovado","Reprovado")</f>
        <v>Reprovado</v>
      </c>
    </row>
    <row r="4" spans="1:9" x14ac:dyDescent="0.3">
      <c r="A4" t="s">
        <v>7</v>
      </c>
      <c r="B4">
        <v>6.9</v>
      </c>
      <c r="C4">
        <v>7.5</v>
      </c>
      <c r="D4">
        <v>9.3000000000000007</v>
      </c>
      <c r="E4">
        <v>7.1</v>
      </c>
      <c r="F4" s="3">
        <f t="shared" ref="F4:F11" si="0">AVERAGE(B4:E4)</f>
        <v>7.7000000000000011</v>
      </c>
      <c r="G4" s="11" t="str">
        <f t="shared" ref="G4:G11" si="1">IF(F4&gt;7,"Aprovado","Reprovado")</f>
        <v>Aprovado</v>
      </c>
      <c r="H4" s="2"/>
    </row>
    <row r="5" spans="1:9" x14ac:dyDescent="0.3">
      <c r="A5" t="s">
        <v>8</v>
      </c>
      <c r="B5">
        <v>5.5</v>
      </c>
      <c r="C5">
        <v>8.5</v>
      </c>
      <c r="D5">
        <v>7.9</v>
      </c>
      <c r="E5">
        <v>4.5</v>
      </c>
      <c r="F5" s="3">
        <f t="shared" si="0"/>
        <v>6.6</v>
      </c>
      <c r="G5" s="11" t="str">
        <f t="shared" si="1"/>
        <v>Reprovado</v>
      </c>
      <c r="I5" s="8"/>
    </row>
    <row r="6" spans="1:9" x14ac:dyDescent="0.3">
      <c r="A6" t="s">
        <v>9</v>
      </c>
      <c r="B6">
        <v>9</v>
      </c>
      <c r="C6">
        <v>7.5</v>
      </c>
      <c r="D6">
        <v>8</v>
      </c>
      <c r="E6">
        <v>6.5</v>
      </c>
      <c r="F6" s="3">
        <f t="shared" si="0"/>
        <v>7.75</v>
      </c>
      <c r="G6" s="11" t="str">
        <f t="shared" si="1"/>
        <v>Aprovado</v>
      </c>
    </row>
    <row r="7" spans="1:9" x14ac:dyDescent="0.3">
      <c r="A7" t="s">
        <v>10</v>
      </c>
      <c r="B7">
        <v>4.9000000000000004</v>
      </c>
      <c r="C7">
        <v>6.7</v>
      </c>
      <c r="D7">
        <v>7.5</v>
      </c>
      <c r="E7">
        <v>8.1999999999999993</v>
      </c>
      <c r="F7" s="3">
        <f t="shared" si="0"/>
        <v>6.8250000000000002</v>
      </c>
      <c r="G7" s="11" t="str">
        <f t="shared" si="1"/>
        <v>Reprovado</v>
      </c>
    </row>
    <row r="8" spans="1:9" x14ac:dyDescent="0.3">
      <c r="A8" t="s">
        <v>11</v>
      </c>
      <c r="B8">
        <v>8.5</v>
      </c>
      <c r="C8">
        <v>6.8</v>
      </c>
      <c r="D8">
        <v>8.5</v>
      </c>
      <c r="E8">
        <v>6.3</v>
      </c>
      <c r="F8" s="3">
        <f t="shared" si="0"/>
        <v>7.5250000000000004</v>
      </c>
      <c r="G8" s="11" t="str">
        <f t="shared" si="1"/>
        <v>Aprovado</v>
      </c>
    </row>
    <row r="9" spans="1:9" x14ac:dyDescent="0.3">
      <c r="A9" t="s">
        <v>12</v>
      </c>
      <c r="B9">
        <v>9</v>
      </c>
      <c r="C9">
        <v>7</v>
      </c>
      <c r="D9">
        <v>10</v>
      </c>
      <c r="E9">
        <v>7</v>
      </c>
      <c r="F9" s="3">
        <f t="shared" si="0"/>
        <v>8.25</v>
      </c>
      <c r="G9" s="11" t="str">
        <f t="shared" si="1"/>
        <v>Aprovado</v>
      </c>
    </row>
    <row r="10" spans="1:9" x14ac:dyDescent="0.3">
      <c r="A10" t="s">
        <v>13</v>
      </c>
      <c r="B10">
        <v>7.7</v>
      </c>
      <c r="C10">
        <v>8.8000000000000007</v>
      </c>
      <c r="D10">
        <v>9.5</v>
      </c>
      <c r="E10">
        <v>7.2</v>
      </c>
      <c r="F10" s="3">
        <f t="shared" si="0"/>
        <v>8.3000000000000007</v>
      </c>
      <c r="G10" s="11" t="str">
        <f t="shared" si="1"/>
        <v>Aprovado</v>
      </c>
    </row>
    <row r="11" spans="1:9" x14ac:dyDescent="0.3">
      <c r="A11" t="s">
        <v>14</v>
      </c>
      <c r="B11">
        <v>5</v>
      </c>
      <c r="C11">
        <v>7.9</v>
      </c>
      <c r="D11">
        <v>8</v>
      </c>
      <c r="E11">
        <v>7.9</v>
      </c>
      <c r="F11" s="3">
        <f t="shared" si="0"/>
        <v>7.1999999999999993</v>
      </c>
      <c r="G11" s="11" t="str">
        <f t="shared" si="1"/>
        <v>Aprovado</v>
      </c>
    </row>
  </sheetData>
  <conditionalFormatting sqref="G2:G11">
    <cfRule type="containsText" dxfId="1" priority="2" operator="containsText" text="Aprovado">
      <formula>NOT(ISERROR(SEARCH("Aprovado",G2)))</formula>
    </cfRule>
    <cfRule type="containsText" dxfId="0" priority="1" operator="containsText" text="Reprovado">
      <formula>NOT(ISERROR(SEARCH("Reprovado",G2)))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BB8E4-21FE-44F2-8C2D-65BD2687400E}">
  <dimension ref="A1:M15"/>
  <sheetViews>
    <sheetView workbookViewId="0">
      <selection activeCell="F15" sqref="F15"/>
    </sheetView>
  </sheetViews>
  <sheetFormatPr defaultRowHeight="15.6" x14ac:dyDescent="0.3"/>
  <cols>
    <col min="1" max="1" width="15.8984375" customWidth="1"/>
    <col min="2" max="2" width="17.3984375" customWidth="1"/>
    <col min="3" max="3" width="16.19921875" customWidth="1"/>
    <col min="4" max="4" width="17.69921875" customWidth="1"/>
    <col min="5" max="5" width="3.09765625" customWidth="1"/>
    <col min="6" max="6" width="15.59765625" customWidth="1"/>
    <col min="7" max="7" width="16.3984375" customWidth="1"/>
    <col min="8" max="8" width="5.5" customWidth="1"/>
    <col min="9" max="9" width="16.296875" customWidth="1"/>
    <col min="10" max="10" width="18.796875" customWidth="1"/>
    <col min="11" max="11" width="20.09765625" customWidth="1"/>
    <col min="12" max="12" width="12.8984375" customWidth="1"/>
    <col min="13" max="13" width="10.5" bestFit="1" customWidth="1"/>
  </cols>
  <sheetData>
    <row r="1" spans="1:13" x14ac:dyDescent="0.3">
      <c r="A1" s="9" t="s">
        <v>18</v>
      </c>
      <c r="B1" s="9" t="s">
        <v>19</v>
      </c>
      <c r="C1" s="9" t="s">
        <v>20</v>
      </c>
      <c r="D1" s="9" t="s">
        <v>21</v>
      </c>
      <c r="F1" s="9" t="s">
        <v>41</v>
      </c>
      <c r="G1" s="9" t="s">
        <v>40</v>
      </c>
      <c r="I1" s="9" t="s">
        <v>42</v>
      </c>
      <c r="J1" s="9" t="s">
        <v>43</v>
      </c>
      <c r="K1" s="9" t="s">
        <v>45</v>
      </c>
      <c r="L1" s="9" t="s">
        <v>44</v>
      </c>
    </row>
    <row r="3" spans="1:13" x14ac:dyDescent="0.3">
      <c r="A3" t="s">
        <v>22</v>
      </c>
      <c r="B3" t="s">
        <v>33</v>
      </c>
      <c r="C3">
        <v>100</v>
      </c>
      <c r="D3" s="12">
        <v>8</v>
      </c>
      <c r="F3">
        <v>55</v>
      </c>
      <c r="G3" s="12">
        <f>SUM(F3*D3)</f>
        <v>440</v>
      </c>
      <c r="I3">
        <f>C3-F3</f>
        <v>45</v>
      </c>
      <c r="J3" s="13">
        <v>0.5</v>
      </c>
      <c r="K3">
        <f>C3*J3</f>
        <v>50</v>
      </c>
      <c r="L3" s="1" t="str">
        <f>IF(I3&lt;K3,"repor","não repor")</f>
        <v>repor</v>
      </c>
      <c r="M3" s="12"/>
    </row>
    <row r="4" spans="1:13" x14ac:dyDescent="0.3">
      <c r="A4" t="s">
        <v>17</v>
      </c>
      <c r="B4" t="s">
        <v>33</v>
      </c>
      <c r="C4">
        <v>250</v>
      </c>
      <c r="D4" s="12">
        <v>4</v>
      </c>
      <c r="F4">
        <v>48</v>
      </c>
      <c r="G4" s="12">
        <f t="shared" ref="G4:G15" si="0">SUM(F4*D4)</f>
        <v>192</v>
      </c>
      <c r="I4">
        <f t="shared" ref="I4:I15" si="1">C4-F4</f>
        <v>202</v>
      </c>
      <c r="J4" s="13">
        <v>0.5</v>
      </c>
      <c r="K4">
        <f t="shared" ref="K4:K15" si="2">C4*J4</f>
        <v>125</v>
      </c>
      <c r="L4" s="1" t="str">
        <f t="shared" ref="L4:L15" si="3">IF(I4&lt;K4,"repor","não repor")</f>
        <v>não repor</v>
      </c>
    </row>
    <row r="5" spans="1:13" x14ac:dyDescent="0.3">
      <c r="A5" t="s">
        <v>23</v>
      </c>
      <c r="B5" t="s">
        <v>36</v>
      </c>
      <c r="C5">
        <v>80</v>
      </c>
      <c r="D5" s="12">
        <v>9</v>
      </c>
      <c r="F5">
        <v>25</v>
      </c>
      <c r="G5" s="12">
        <f t="shared" si="0"/>
        <v>225</v>
      </c>
      <c r="I5">
        <f t="shared" si="1"/>
        <v>55</v>
      </c>
      <c r="J5" s="13">
        <v>0.5</v>
      </c>
      <c r="K5">
        <f t="shared" si="2"/>
        <v>40</v>
      </c>
      <c r="L5" s="1" t="str">
        <f t="shared" si="3"/>
        <v>não repor</v>
      </c>
    </row>
    <row r="6" spans="1:13" x14ac:dyDescent="0.3">
      <c r="A6" t="s">
        <v>24</v>
      </c>
      <c r="B6" t="s">
        <v>37</v>
      </c>
      <c r="C6">
        <v>40</v>
      </c>
      <c r="D6" s="12">
        <v>12</v>
      </c>
      <c r="F6">
        <v>30</v>
      </c>
      <c r="G6" s="12">
        <f t="shared" si="0"/>
        <v>360</v>
      </c>
      <c r="I6">
        <f t="shared" si="1"/>
        <v>10</v>
      </c>
      <c r="J6" s="13">
        <v>0.5</v>
      </c>
      <c r="K6">
        <f t="shared" si="2"/>
        <v>20</v>
      </c>
      <c r="L6" s="1" t="str">
        <f t="shared" si="3"/>
        <v>repor</v>
      </c>
    </row>
    <row r="7" spans="1:13" x14ac:dyDescent="0.3">
      <c r="A7" t="s">
        <v>26</v>
      </c>
      <c r="B7" t="s">
        <v>37</v>
      </c>
      <c r="C7">
        <v>50</v>
      </c>
      <c r="D7" s="12">
        <v>15</v>
      </c>
      <c r="F7">
        <v>20</v>
      </c>
      <c r="G7" s="12">
        <f t="shared" si="0"/>
        <v>300</v>
      </c>
      <c r="I7">
        <f t="shared" si="1"/>
        <v>30</v>
      </c>
      <c r="J7" s="13">
        <v>0.5</v>
      </c>
      <c r="K7">
        <f t="shared" si="2"/>
        <v>25</v>
      </c>
      <c r="L7" s="1" t="str">
        <f t="shared" si="3"/>
        <v>não repor</v>
      </c>
    </row>
    <row r="8" spans="1:13" x14ac:dyDescent="0.3">
      <c r="A8" t="s">
        <v>25</v>
      </c>
      <c r="B8" t="s">
        <v>37</v>
      </c>
      <c r="C8">
        <v>80</v>
      </c>
      <c r="D8" s="12">
        <v>25</v>
      </c>
      <c r="F8">
        <v>14</v>
      </c>
      <c r="G8" s="12">
        <f t="shared" si="0"/>
        <v>350</v>
      </c>
      <c r="I8">
        <f t="shared" si="1"/>
        <v>66</v>
      </c>
      <c r="J8" s="13">
        <v>0.5</v>
      </c>
      <c r="K8">
        <f t="shared" si="2"/>
        <v>40</v>
      </c>
      <c r="L8" s="1" t="str">
        <f t="shared" si="3"/>
        <v>não repor</v>
      </c>
    </row>
    <row r="9" spans="1:13" x14ac:dyDescent="0.3">
      <c r="A9" t="s">
        <v>27</v>
      </c>
      <c r="B9" t="s">
        <v>38</v>
      </c>
      <c r="C9">
        <v>60</v>
      </c>
      <c r="D9" s="12">
        <v>12</v>
      </c>
      <c r="F9">
        <v>8</v>
      </c>
      <c r="G9" s="12">
        <f t="shared" si="0"/>
        <v>96</v>
      </c>
      <c r="I9">
        <f t="shared" si="1"/>
        <v>52</v>
      </c>
      <c r="J9" s="13">
        <v>0.5</v>
      </c>
      <c r="K9">
        <f t="shared" si="2"/>
        <v>30</v>
      </c>
      <c r="L9" s="1" t="str">
        <f t="shared" si="3"/>
        <v>não repor</v>
      </c>
    </row>
    <row r="10" spans="1:13" x14ac:dyDescent="0.3">
      <c r="A10" t="s">
        <v>29</v>
      </c>
      <c r="B10" t="s">
        <v>38</v>
      </c>
      <c r="C10">
        <v>20</v>
      </c>
      <c r="D10" s="12">
        <v>18</v>
      </c>
      <c r="F10">
        <v>9</v>
      </c>
      <c r="G10" s="12">
        <f t="shared" si="0"/>
        <v>162</v>
      </c>
      <c r="I10">
        <f t="shared" si="1"/>
        <v>11</v>
      </c>
      <c r="J10" s="13">
        <v>0.5</v>
      </c>
      <c r="K10">
        <f t="shared" si="2"/>
        <v>10</v>
      </c>
      <c r="L10" s="1" t="str">
        <f t="shared" si="3"/>
        <v>não repor</v>
      </c>
    </row>
    <row r="11" spans="1:13" x14ac:dyDescent="0.3">
      <c r="A11" t="s">
        <v>28</v>
      </c>
      <c r="B11" t="s">
        <v>38</v>
      </c>
      <c r="C11">
        <v>120</v>
      </c>
      <c r="D11" s="12">
        <v>32</v>
      </c>
      <c r="F11">
        <v>50</v>
      </c>
      <c r="G11" s="12">
        <f t="shared" si="0"/>
        <v>1600</v>
      </c>
      <c r="I11">
        <f t="shared" si="1"/>
        <v>70</v>
      </c>
      <c r="J11" s="13">
        <v>0.5</v>
      </c>
      <c r="K11">
        <f t="shared" si="2"/>
        <v>60</v>
      </c>
      <c r="L11" s="1" t="str">
        <f t="shared" si="3"/>
        <v>não repor</v>
      </c>
    </row>
    <row r="12" spans="1:13" x14ac:dyDescent="0.3">
      <c r="A12" t="s">
        <v>30</v>
      </c>
      <c r="B12" t="s">
        <v>34</v>
      </c>
      <c r="C12">
        <v>45</v>
      </c>
      <c r="D12" s="12">
        <v>21</v>
      </c>
      <c r="F12">
        <v>19</v>
      </c>
      <c r="G12" s="12">
        <f t="shared" si="0"/>
        <v>399</v>
      </c>
      <c r="I12">
        <f t="shared" si="1"/>
        <v>26</v>
      </c>
      <c r="J12" s="13">
        <v>0.5</v>
      </c>
      <c r="K12">
        <f t="shared" si="2"/>
        <v>22.5</v>
      </c>
      <c r="L12" s="1" t="str">
        <f t="shared" si="3"/>
        <v>não repor</v>
      </c>
    </row>
    <row r="13" spans="1:13" x14ac:dyDescent="0.3">
      <c r="A13" t="s">
        <v>31</v>
      </c>
      <c r="B13" t="s">
        <v>34</v>
      </c>
      <c r="C13">
        <v>35</v>
      </c>
      <c r="D13" s="12">
        <v>15</v>
      </c>
      <c r="F13">
        <v>10</v>
      </c>
      <c r="G13" s="12">
        <f t="shared" si="0"/>
        <v>150</v>
      </c>
      <c r="I13">
        <f t="shared" si="1"/>
        <v>25</v>
      </c>
      <c r="J13" s="13">
        <v>0.5</v>
      </c>
      <c r="K13">
        <f t="shared" si="2"/>
        <v>17.5</v>
      </c>
      <c r="L13" s="1" t="str">
        <f t="shared" si="3"/>
        <v>não repor</v>
      </c>
    </row>
    <row r="14" spans="1:13" x14ac:dyDescent="0.3">
      <c r="A14" t="s">
        <v>32</v>
      </c>
      <c r="B14" t="s">
        <v>35</v>
      </c>
      <c r="C14">
        <v>30</v>
      </c>
      <c r="D14" s="12">
        <v>2</v>
      </c>
      <c r="F14">
        <v>4</v>
      </c>
      <c r="G14" s="12">
        <f t="shared" si="0"/>
        <v>8</v>
      </c>
      <c r="I14">
        <f t="shared" si="1"/>
        <v>26</v>
      </c>
      <c r="J14" s="13">
        <v>0.5</v>
      </c>
      <c r="K14">
        <f t="shared" si="2"/>
        <v>15</v>
      </c>
      <c r="L14" s="1" t="str">
        <f t="shared" si="3"/>
        <v>não repor</v>
      </c>
    </row>
    <row r="15" spans="1:13" x14ac:dyDescent="0.3">
      <c r="A15" t="s">
        <v>39</v>
      </c>
      <c r="B15" t="s">
        <v>35</v>
      </c>
      <c r="C15">
        <v>40</v>
      </c>
      <c r="D15" s="12">
        <v>5</v>
      </c>
      <c r="F15">
        <v>25</v>
      </c>
      <c r="G15" s="12">
        <f t="shared" si="0"/>
        <v>125</v>
      </c>
      <c r="I15">
        <f t="shared" si="1"/>
        <v>15</v>
      </c>
      <c r="J15" s="13">
        <v>0.5</v>
      </c>
      <c r="K15">
        <f t="shared" si="2"/>
        <v>20</v>
      </c>
      <c r="L15" s="1" t="str">
        <f t="shared" si="3"/>
        <v>repor</v>
      </c>
    </row>
  </sheetData>
  <autoFilter ref="A1:L15" xr:uid="{CB5BB8E4-21FE-44F2-8C2D-65BD2687400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A9DDE-5AEB-49F9-9D31-C69F7BB64730}">
  <dimension ref="A1:D5"/>
  <sheetViews>
    <sheetView workbookViewId="0">
      <selection activeCell="D3" sqref="D3"/>
    </sheetView>
  </sheetViews>
  <sheetFormatPr defaultRowHeight="15.6" x14ac:dyDescent="0.3"/>
  <cols>
    <col min="1" max="1" width="20.296875" customWidth="1"/>
    <col min="2" max="2" width="8.8984375" style="12" customWidth="1"/>
    <col min="3" max="3" width="11.59765625" style="16" customWidth="1"/>
    <col min="4" max="4" width="18.5" customWidth="1"/>
  </cols>
  <sheetData>
    <row r="1" spans="1:4" x14ac:dyDescent="0.3">
      <c r="A1" s="1" t="s">
        <v>46</v>
      </c>
      <c r="B1" s="14" t="s">
        <v>21</v>
      </c>
      <c r="C1" s="15" t="s">
        <v>50</v>
      </c>
      <c r="D1" s="1" t="s">
        <v>51</v>
      </c>
    </row>
    <row r="3" spans="1:4" x14ac:dyDescent="0.3">
      <c r="A3" s="1" t="s">
        <v>47</v>
      </c>
      <c r="B3" s="12">
        <v>299</v>
      </c>
      <c r="C3" s="16">
        <v>0.15</v>
      </c>
      <c r="D3" s="12">
        <f>B3-C3*B3</f>
        <v>254.15</v>
      </c>
    </row>
    <row r="4" spans="1:4" x14ac:dyDescent="0.3">
      <c r="A4" s="1" t="s">
        <v>48</v>
      </c>
      <c r="B4" s="12">
        <v>79</v>
      </c>
      <c r="C4" s="16">
        <v>0.12</v>
      </c>
      <c r="D4" s="12">
        <f t="shared" ref="D4:D5" si="0">B4-C4*B4</f>
        <v>69.52</v>
      </c>
    </row>
    <row r="5" spans="1:4" x14ac:dyDescent="0.3">
      <c r="A5" s="1" t="s">
        <v>49</v>
      </c>
      <c r="B5" s="12">
        <v>355</v>
      </c>
      <c r="C5" s="16">
        <v>0.18</v>
      </c>
      <c r="D5" s="12">
        <f t="shared" si="0"/>
        <v>291.10000000000002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Média</vt:lpstr>
      <vt:lpstr>Mercado</vt:lpstr>
      <vt:lpstr>Produtos com desconto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josei</dc:creator>
  <cp:lastModifiedBy>joseildo lima</cp:lastModifiedBy>
  <dcterms:created xsi:type="dcterms:W3CDTF">2022-12-14T00:10:12Z</dcterms:created>
  <dcterms:modified xsi:type="dcterms:W3CDTF">2022-12-16T00:44:44Z</dcterms:modified>
</cp:coreProperties>
</file>